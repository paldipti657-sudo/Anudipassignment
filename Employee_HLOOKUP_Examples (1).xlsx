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8E5F3C37C20E74E/Documents/"/>
    </mc:Choice>
  </mc:AlternateContent>
  <xr:revisionPtr revIDLastSave="0" documentId="8_{488BB7B3-83BE-4E07-90BE-DF961C755D0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mployee_HLOOK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<sst xmlns="http://schemas.openxmlformats.org/spreadsheetml/2006/main" count="23" uniqueCount="23">
  <si>
    <t>Employee</t>
  </si>
  <si>
    <t>Jan</t>
  </si>
  <si>
    <t>Feb</t>
  </si>
  <si>
    <t>Mar</t>
  </si>
  <si>
    <t>Apr</t>
  </si>
  <si>
    <t>May</t>
  </si>
  <si>
    <t>HLOOKUP Questions, Formulas, and Answers</t>
  </si>
  <si>
    <t>Question</t>
  </si>
  <si>
    <t>Formula</t>
  </si>
  <si>
    <t>Answer</t>
  </si>
  <si>
    <t>Ram</t>
  </si>
  <si>
    <t>FindRam salary in March</t>
  </si>
  <si>
    <t>Sham</t>
  </si>
  <si>
    <t>Find sham salary in May</t>
  </si>
  <si>
    <t>Sagar</t>
  </si>
  <si>
    <t>Find sagar salary in February</t>
  </si>
  <si>
    <t>Rohan</t>
  </si>
  <si>
    <t>Find total salary of Rohan</t>
  </si>
  <si>
    <t>Find minimum salary of Rohan</t>
  </si>
  <si>
    <t>Priya</t>
  </si>
  <si>
    <t>Find average salary of Priya</t>
  </si>
  <si>
    <t>Sanika</t>
  </si>
  <si>
    <t>Find maximum salary of Sanika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</si>
</sst>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I7" sqref="I7"/>
    </sheetView>
  </sheetViews>
  <sheetFormatPr defaultRowHeight="14.4" x14ac:dyDescent="0.3"/>
  <cols>
    <col min="1" max="1" width="15" customWidth="1"/>
    <col min="2" max="6" width="12" customWidth="1"/>
    <col min="8" max="8" width="38" customWidth="1"/>
    <col min="9" max="9" width="18.77734375" customWidth="1"/>
    <col min="10" max="10" width="1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3">
      <c r="A2" t="s">
        <v>16</v>
      </c>
      <c r="B2">
        <v>45000</v>
      </c>
      <c r="C2">
        <v>46000</v>
      </c>
      <c r="D2">
        <v>47000</v>
      </c>
      <c r="E2">
        <v>48000</v>
      </c>
      <c r="F2">
        <v>49000</v>
      </c>
      <c r="H2" s="1" t="s">
        <v>7</v>
      </c>
      <c r="I2" s="1" t="s">
        <v>8</v>
      </c>
      <c r="J2" s="1" t="s">
        <v>9</v>
      </c>
    </row>
    <row r="3" spans="1:10" x14ac:dyDescent="0.3">
      <c r="A3" t="s">
        <v>10</v>
      </c>
      <c r="B3">
        <v>50000</v>
      </c>
      <c r="C3">
        <v>51000</v>
      </c>
      <c r="D3">
        <v>52000</v>
      </c>
      <c r="E3">
        <v>53000</v>
      </c>
      <c r="F3">
        <v>54000</v>
      </c>
      <c r="H3" t="s">
        <v>11</v>
      </c>
      <c r="I3">
        <f>HLOOKUP("MAR",A1:F7,3,FALSE)</f>
        <v>52000</v>
      </c>
      <c r="J3">
        <v>52000</v>
      </c>
    </row>
    <row r="4" spans="1:10" x14ac:dyDescent="0.3">
      <c r="A4" t="s">
        <v>14</v>
      </c>
      <c r="B4">
        <v>42000</v>
      </c>
      <c r="C4">
        <v>43000</v>
      </c>
      <c r="D4">
        <v>44000</v>
      </c>
      <c r="E4">
        <v>45000</v>
      </c>
      <c r="F4">
        <v>46000</v>
      </c>
      <c r="H4" t="s">
        <v>13</v>
      </c>
      <c r="I4">
        <f>HLOOKUP("MAY",A1:F7,5,FALSE)</f>
        <v>59000</v>
      </c>
      <c r="J4">
        <v>59000</v>
      </c>
    </row>
    <row r="5" spans="1:10" x14ac:dyDescent="0.3">
      <c r="A5" t="s">
        <v>12</v>
      </c>
      <c r="B5">
        <v>55000</v>
      </c>
      <c r="C5">
        <v>56000</v>
      </c>
      <c r="D5">
        <v>57000</v>
      </c>
      <c r="E5">
        <v>58000</v>
      </c>
      <c r="F5">
        <v>59000</v>
      </c>
      <c r="H5" t="s">
        <v>15</v>
      </c>
      <c r="I5">
        <f>HLOOKUP("FEB",A1:F7,4,FALSE)</f>
        <v>43000</v>
      </c>
      <c r="J5">
        <v>43000</v>
      </c>
    </row>
    <row r="6" spans="1:10" x14ac:dyDescent="0.3">
      <c r="A6" t="s">
        <v>21</v>
      </c>
      <c r="B6">
        <v>47000</v>
      </c>
      <c r="C6">
        <v>48000</v>
      </c>
      <c r="D6">
        <v>49000</v>
      </c>
      <c r="E6">
        <v>50000</v>
      </c>
      <c r="F6">
        <v>51000</v>
      </c>
      <c r="H6" t="s">
        <v>17</v>
      </c>
      <c r="I6">
        <f>SUM(HLOOKUP("JAN",A1:F7,2,FALSE),HLOOKUP("FEB",A1:F7,2,FALSE),HLOOKUP("MAR",A1:F7,2,FALSE),HLOOKUP("APR",A1:F7,2,FALSE),HLOOKUP("MAY",A1:F7,2,FALSE))</f>
        <v>235000</v>
      </c>
      <c r="J6">
        <v>235000</v>
      </c>
    </row>
    <row r="7" spans="1:10" x14ac:dyDescent="0.3">
      <c r="A7" t="s">
        <v>19</v>
      </c>
      <c r="B7">
        <v>60000</v>
      </c>
      <c r="C7">
        <v>61000</v>
      </c>
      <c r="D7">
        <v>62000</v>
      </c>
      <c r="E7">
        <v>63000</v>
      </c>
      <c r="F7">
        <v>64000</v>
      </c>
      <c r="H7" t="s">
        <v>22</v>
      </c>
      <c r="I7">
        <f>MAX(HLOOKUP("JAN",A1:F7,6,FALSE),HLOOKUP("FEB",A1:F7,6,FALSE),HLOOKUP("MAR",A1:F7,6,FALSE),HLOOKUP("APR",A1:F7,6,FALSE),HLOOKUP("MAY",A1:F7,6,FALSE))</f>
        <v>51000</v>
      </c>
      <c r="J7">
        <v>51000</v>
      </c>
    </row>
    <row r="8" spans="1:10" x14ac:dyDescent="0.3">
      <c r="H8" t="s">
        <v>18</v>
      </c>
      <c r="I8">
        <f>MIN(HLOOKUP("JAN",A1:F7,2,FALSE),HLOOKUP("FEB",A1:F7,2,FALSE),HLOOKUP("MAR",A1:F7,2,FALSE),HLOOKUP("APR",A1:F7,2,FALSE),HLOOKUP("MAY",A1:F7,2,FALSE))</f>
        <v>45000</v>
      </c>
      <c r="J8">
        <v>45000</v>
      </c>
    </row>
    <row r="9" spans="1:10" x14ac:dyDescent="0.3">
      <c r="H9" t="s">
        <v>20</v>
      </c>
      <c r="I9">
        <f>AVERAGE(HLOOKUP("JAN",A1:F7,7,FALSE),HLOOKUP("FEB",A1:F7,7,FALSE),HLOOKUP("MAR",A1:F7,7,FALSE),HLOOKUP("APR",A1:F7,7,FALSE),HLOOKUP("MAY",A1:F7,7,FALSE))</f>
        <v>62000</v>
      </c>
      <c r="J9">
        <v>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Employee_HLOOKUP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dipti pal</cp:lastModifiedBy>
  <dcterms:created xsi:type="dcterms:W3CDTF">2026-05-19T04:14:53Z</dcterms:created>
  <dcterms:modified xsi:type="dcterms:W3CDTF">2026-05-19T07:38:23Z</dcterms:modified>
</cp:coreProperties>
</file>